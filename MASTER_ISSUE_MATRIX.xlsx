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sue Matrix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xecution Order" sheetId="3" state="visible" r:id="rId3"/>
    <sheet xmlns:r="http://schemas.openxmlformats.org/officeDocument/2006/relationships" name="Tensor View" sheetId="4" state="visible" r:id="rId4"/>
    <sheet xmlns:r="http://schemas.openxmlformats.org/officeDocument/2006/relationships" name="Risk Register" sheetId="5" state="visible" r:id="rId5"/>
  </sheets>
  <definedNames>
    <definedName name="_xlnm._FilterDatabase" localSheetId="0" hidden="1">'Issue Matrix'!$A$1:$I$21</definedName>
    <definedName name="_xlnm._FilterDatabase" localSheetId="1" hidden="1">'Summary'!$A$1:$B$10</definedName>
    <definedName name="_xlnm._FilterDatabase" localSheetId="2" hidden="1">'Execution Order'!$A$1:$D$4</definedName>
    <definedName name="_xlnm._FilterDatabase" localSheetId="3" hidden="1">'Tensor View'!$A$1:$D$6</definedName>
    <definedName name="_xlnm._FilterDatabase" localSheetId="4" hidden="1">'Risk Register'!$A$1:$D$5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2" customWidth="1" min="3" max="3"/>
    <col width="60" customWidth="1" min="4" max="4"/>
    <col width="60" customWidth="1" min="5" max="5"/>
    <col width="60" customWidth="1" min="6" max="6"/>
    <col width="60" customWidth="1" min="7" max="7"/>
    <col width="60" customWidth="1" min="8" max="8"/>
    <col width="12" customWidth="1" min="9" max="9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Severity</t>
        </is>
      </c>
      <c r="D1" s="1" t="inlineStr">
        <is>
          <t>Issue</t>
        </is>
      </c>
      <c r="E1" s="1" t="inlineStr">
        <is>
          <t>Impact</t>
        </is>
      </c>
      <c r="F1" s="1" t="inlineStr">
        <is>
          <t>Design fix</t>
        </is>
      </c>
      <c r="G1" s="1" t="inlineStr">
        <is>
          <t>Files/Touch points</t>
        </is>
      </c>
      <c r="H1" s="1" t="inlineStr">
        <is>
          <t>Acceptance gate</t>
        </is>
      </c>
      <c r="I1" s="1" t="inlineStr">
        <is>
          <t>Phase</t>
        </is>
      </c>
    </row>
    <row r="2">
      <c r="A2" s="2" t="inlineStr">
        <is>
          <t>LIB-C001</t>
        </is>
      </c>
      <c r="B2" s="2" t="inlineStr">
        <is>
          <t>Artifact constitution</t>
        </is>
      </c>
      <c r="C2" s="2" t="inlineStr">
        <is>
          <t>Critical</t>
        </is>
      </c>
      <c r="D2" s="2" t="inlineStr">
        <is>
          <t>Canonical EpisodeBundle / ClaimBundle / EvidenceBundle contract is not fully frozen</t>
        </is>
      </c>
      <c r="E2" s="2" t="inlineStr">
        <is>
          <t>Cross-plane identity and replay drift</t>
        </is>
      </c>
      <c r="F2" s="2" t="inlineStr">
        <is>
          <t>Freeze canonical episode/claim/evidence package with digests, backpointers, execution context, verification plan</t>
        </is>
      </c>
      <c r="G2" s="2" t="inlineStr">
        <is>
          <t>stack-ids; semantic-memory-forge; forge-memory-bridge; semantic-memory; contract-schema-gen</t>
        </is>
      </c>
      <c r="H2" s="2" t="inlineStr">
        <is>
          <t>Episode-bearing package schema published and round-trip tested</t>
        </is>
      </c>
      <c r="I2" s="2" t="inlineStr">
        <is>
          <t>P0</t>
        </is>
      </c>
    </row>
    <row r="3">
      <c r="A3" s="2" t="inlineStr">
        <is>
          <t>LIB-C002</t>
        </is>
      </c>
      <c r="B3" s="2" t="inlineStr">
        <is>
          <t>Execution evidence</t>
        </is>
      </c>
      <c r="C3" s="2" t="inlineStr">
        <is>
          <t>Critical</t>
        </is>
      </c>
      <c r="D3" s="2" t="inlineStr">
        <is>
          <t>Control-plane evidence family is under-specified and partly implicit</t>
        </is>
      </c>
      <c r="E3" s="2" t="inlineStr">
        <is>
          <t>System cannot testify how outputs were produced</t>
        </is>
      </c>
      <c r="F3" s="2" t="inlineStr">
        <is>
          <t>Freeze execution-context / receipt / retry-family / queue-hop / budget lineage artifacts</t>
        </is>
      </c>
      <c r="G3" s="2" t="inlineStr">
        <is>
          <t>llm-tool-runtime; verification-*; forge-pilot; stack-ids</t>
        </is>
      </c>
      <c r="H3" s="2" t="inlineStr">
        <is>
          <t>Execution receipts queryable and linked to episodes/claims</t>
        </is>
      </c>
      <c r="I3" s="2" t="inlineStr">
        <is>
          <t>P0</t>
        </is>
      </c>
    </row>
    <row r="4">
      <c r="A4" s="2" t="inlineStr">
        <is>
          <t>LIB-C003</t>
        </is>
      </c>
      <c r="B4" s="2" t="inlineStr">
        <is>
          <t>Reference semantics</t>
        </is>
      </c>
      <c r="C4" s="2" t="inlineStr">
        <is>
          <t>Critical</t>
        </is>
      </c>
      <c r="D4" s="2" t="inlineStr">
        <is>
          <t>No authoritative reference interpreter exists for hard semantic seams</t>
        </is>
      </c>
      <c r="E4" s="2" t="inlineStr">
        <is>
          <t>Spec drift can become elegant fan fiction</t>
        </is>
      </c>
      <c r="F4" s="2" t="inlineStr">
        <is>
          <t>Implement reference interpreters for bitemporal queries, widening, bridge atomicity, repair invariants, and kernel exact-on-small-slice checks</t>
        </is>
      </c>
      <c r="G4" s="2" t="inlineStr">
        <is>
          <t>knowledge-runtime; semantic-memory; bridge; kernel-conformance</t>
        </is>
      </c>
      <c r="H4" s="2" t="inlineStr">
        <is>
          <t>Differential tests compare production vs reference results</t>
        </is>
      </c>
      <c r="I4" s="2" t="inlineStr">
        <is>
          <t>P0</t>
        </is>
      </c>
    </row>
    <row r="5">
      <c r="A5" s="2" t="inlineStr">
        <is>
          <t>LIB-C004</t>
        </is>
      </c>
      <c r="B5" s="2" t="inlineStr">
        <is>
          <t>Schema governance</t>
        </is>
      </c>
      <c r="C5" s="2" t="inlineStr">
        <is>
          <t>High</t>
        </is>
      </c>
      <c r="D5" s="2" t="inlineStr">
        <is>
          <t>Wire-visible schema policy and transitive compatibility proof are not centralized enough</t>
        </is>
      </c>
      <c r="E5" s="2" t="inlineStr">
        <is>
          <t>Version drift and silent breakage risk</t>
        </is>
      </c>
      <c r="F5" s="2" t="inlineStr">
        <is>
          <t>Make contract-schema-gen publish schemas, compat policy, semver proofs, and migration owners</t>
        </is>
      </c>
      <c r="G5" s="2" t="inlineStr">
        <is>
          <t>contract-schema-gen; shared contract crates</t>
        </is>
      </c>
      <c r="H5" s="2" t="inlineStr">
        <is>
          <t>CI fails on breaking schema/API drift without explicit migration/proof</t>
        </is>
      </c>
      <c r="I5" s="2" t="inlineStr">
        <is>
          <t>P0</t>
        </is>
      </c>
    </row>
    <row r="6">
      <c r="A6" s="2" t="inlineStr">
        <is>
          <t>LIB-C005</t>
        </is>
      </c>
      <c r="B6" s="2" t="inlineStr">
        <is>
          <t>Bridge law</t>
        </is>
      </c>
      <c r="C6" s="2" t="inlineStr">
        <is>
          <t>High</t>
        </is>
      </c>
      <c r="D6" s="2" t="inlineStr">
        <is>
          <t>Atomic import, digest preservation, and backpointer preservation need first-class proof artifacts</t>
        </is>
      </c>
      <c r="E6" s="2" t="inlineStr">
        <is>
          <t>Bridge can become quiet semantics engine</t>
        </is>
      </c>
      <c r="F6" s="2" t="inlineStr">
        <is>
          <t>Add import failure artifacts, digest checks, and atomicity proofs</t>
        </is>
      </c>
      <c r="G6" s="2" t="inlineStr">
        <is>
          <t>forge-memory-bridge; semantic-memory-forge</t>
        </is>
      </c>
      <c r="H6" s="2" t="inlineStr">
        <is>
          <t>Bridge failures become replayable artifacts; atomicity suite passes</t>
        </is>
      </c>
      <c r="I6" s="2" t="inlineStr">
        <is>
          <t>P0</t>
        </is>
      </c>
    </row>
    <row r="7">
      <c r="A7" s="2" t="inlineStr">
        <is>
          <t>LIB-C006</t>
        </is>
      </c>
      <c r="B7" s="2" t="inlineStr">
        <is>
          <t>Episode-first projection</t>
        </is>
      </c>
      <c r="C7" s="2" t="inlineStr">
        <is>
          <t>High</t>
        </is>
      </c>
      <c r="D7" s="2" t="inlineStr">
        <is>
          <t>semantic-memory still has transition seams rather than fully completed episode-first identity</t>
        </is>
      </c>
      <c r="E7" s="2" t="inlineStr">
        <is>
          <t>Document identity can still leak into truth surfaces</t>
        </is>
      </c>
      <c r="F7" s="2" t="inlineStr">
        <is>
          <t>Complete episode_id-first modeling, normalized episode causes, and source backpointers</t>
        </is>
      </c>
      <c r="G7" s="2" t="inlineStr">
        <is>
          <t>semantic-memory</t>
        </is>
      </c>
      <c r="H7" s="2" t="inlineStr">
        <is>
          <t>Episode-first queries and backpointer traversal work end-to-end</t>
        </is>
      </c>
      <c r="I7" s="2" t="inlineStr">
        <is>
          <t>P0</t>
        </is>
      </c>
    </row>
    <row r="8">
      <c r="A8" s="2" t="inlineStr">
        <is>
          <t>LIB-C007</t>
        </is>
      </c>
      <c r="B8" s="2" t="inlineStr">
        <is>
          <t>Verification-plan law</t>
        </is>
      </c>
      <c r="C8" s="2" t="inlineStr">
        <is>
          <t>High</t>
        </is>
      </c>
      <c r="D8" s="2" t="inlineStr">
        <is>
          <t>Risk-bearing outputs do not yet uniformly require a verification-plan artifact</t>
        </is>
      </c>
      <c r="E8" s="2" t="inlineStr">
        <is>
          <t>Cheap checks can be skipped or forgotten</t>
        </is>
      </c>
      <c r="F8" s="2" t="inlineStr">
        <is>
          <t>Require VerificationPlanV1 for risk-bearing promotion and runtime output classes</t>
        </is>
      </c>
      <c r="G8" s="2" t="inlineStr">
        <is>
          <t>verification-*; knowledge-runtime; forge-pilot</t>
        </is>
      </c>
      <c r="H8" s="2" t="inlineStr">
        <is>
          <t>Promotion blocked when verification plan absent</t>
        </is>
      </c>
      <c r="I8" s="2" t="inlineStr">
        <is>
          <t>P0</t>
        </is>
      </c>
    </row>
    <row r="9">
      <c r="A9" s="2" t="inlineStr">
        <is>
          <t>LIB-C008</t>
        </is>
      </c>
      <c r="B9" s="2" t="inlineStr">
        <is>
          <t>Repair law</t>
        </is>
      </c>
      <c r="C9" s="2" t="inlineStr">
        <is>
          <t>High</t>
        </is>
      </c>
      <c r="D9" s="2" t="inlineStr">
        <is>
          <t>Repair and contradiction handling are still too folkloric</t>
        </is>
      </c>
      <c r="E9" s="2" t="inlineStr">
        <is>
          <t>Cleanup can mutate semantics without audit</t>
        </is>
      </c>
      <c r="F9" s="2" t="inlineStr">
        <is>
          <t>Freeze RepairRecordV1, repair classes, minimal-change rule, and blast-radius semantics</t>
        </is>
      </c>
      <c r="G9" s="2" t="inlineStr">
        <is>
          <t>verification-*; semantic-memory; runtime</t>
        </is>
      </c>
      <c r="H9" s="2" t="inlineStr">
        <is>
          <t>Every contradiction/repair emits typed repair artifact</t>
        </is>
      </c>
      <c r="I9" s="2" t="inlineStr">
        <is>
          <t>P0</t>
        </is>
      </c>
    </row>
    <row r="10">
      <c r="A10" s="2" t="inlineStr">
        <is>
          <t>LIB-C009</t>
        </is>
      </c>
      <c r="B10" s="2" t="inlineStr">
        <is>
          <t>Runtime provenance</t>
        </is>
      </c>
      <c r="C10" s="2" t="inlineStr">
        <is>
          <t>High</t>
        </is>
      </c>
      <c r="D10" s="2" t="inlineStr">
        <is>
          <t>Multi-view runtime law and widening/degradation disclosure are incomplete</t>
        </is>
      </c>
      <c r="E10" s="2" t="inlineStr">
        <is>
          <t>Runtime can become plausible-nonsense engine</t>
        </is>
      </c>
      <c r="F10" s="2" t="inlineStr">
        <is>
          <t>Require explicit query provenance, view usage, widening, and degradation records</t>
        </is>
      </c>
      <c r="G10" s="2" t="inlineStr">
        <is>
          <t>knowledge-runtime</t>
        </is>
      </c>
      <c r="H10" s="2" t="inlineStr">
        <is>
          <t>Every result carries declared view model and widening status</t>
        </is>
      </c>
      <c r="I10" s="2" t="inlineStr">
        <is>
          <t>P0</t>
        </is>
      </c>
    </row>
    <row r="11">
      <c r="A11" s="2" t="inlineStr">
        <is>
          <t>LIB-C010</t>
        </is>
      </c>
      <c r="B11" s="2" t="inlineStr">
        <is>
          <t>Consumer-only orchestration</t>
        </is>
      </c>
      <c r="C11" s="2" t="inlineStr">
        <is>
          <t>High</t>
        </is>
      </c>
      <c r="D11" s="2" t="inlineStr">
        <is>
          <t>forge-pilot and adjacent loops need explicit consumer-only enforcement</t>
        </is>
      </c>
      <c r="E11" s="2" t="inlineStr">
        <is>
          <t>Shadow control plane risk</t>
        </is>
      </c>
      <c r="F11" s="2" t="inlineStr">
        <is>
          <t>Constrain orchestrators to public/canonical seams only and require auditable loop reports</t>
        </is>
      </c>
      <c r="G11" s="2" t="inlineStr">
        <is>
          <t>forge-pilot; verification-control</t>
        </is>
      </c>
      <c r="H11" s="2" t="inlineStr">
        <is>
          <t>Loop reports and stop/escalation rules are artifacts; no hidden truth writes</t>
        </is>
      </c>
      <c r="I11" s="2" t="inlineStr">
        <is>
          <t>P0</t>
        </is>
      </c>
    </row>
    <row r="12">
      <c r="A12" s="2" t="inlineStr">
        <is>
          <t>LIB-C011</t>
        </is>
      </c>
      <c r="B12" s="2" t="inlineStr">
        <is>
          <t>Right-graph law</t>
        </is>
      </c>
      <c r="C12" s="2" t="inlineStr">
        <is>
          <t>High</t>
        </is>
      </c>
      <c r="D12" s="2" t="inlineStr">
        <is>
          <t>Storage, retrieval, inference, repair, and control graphs are not yet formalized as distinct compiled surfaces</t>
        </is>
      </c>
      <c r="E12" s="2" t="inlineStr">
        <is>
          <t>Wrong-graph execution causes hidden drift</t>
        </is>
      </c>
      <c r="F12" s="2" t="inlineStr">
        <is>
          <t>Freeze right-graph compilation law and placement responsibilities</t>
        </is>
      </c>
      <c r="G12" s="2" t="inlineStr">
        <is>
          <t>constraint-compiler; kernel-execution; knowledge-runtime</t>
        </is>
      </c>
      <c r="H12" s="2" t="inlineStr">
        <is>
          <t>Compiled graph type is explicit per region/operation</t>
        </is>
      </c>
      <c r="I12" s="2" t="inlineStr">
        <is>
          <t>P1</t>
        </is>
      </c>
    </row>
    <row r="13">
      <c r="A13" s="2" t="inlineStr">
        <is>
          <t>LIB-C012</t>
        </is>
      </c>
      <c r="B13" s="2" t="inlineStr">
        <is>
          <t>Convergence governance</t>
        </is>
      </c>
      <c r="C13" s="2" t="inlineStr">
        <is>
          <t>High</t>
        </is>
      </c>
      <c r="D13" s="2" t="inlineStr">
        <is>
          <t>Damping, stop rules, oscillation handling, and escalation are underweighted</t>
        </is>
      </c>
      <c r="E13" s="2" t="inlineStr">
        <is>
          <t>Recursive inference can oscillate or silently degrade</t>
        </is>
      </c>
      <c r="F13" s="2" t="inlineStr">
        <is>
          <t>Add convergence governance objects and failure artifacts</t>
        </is>
      </c>
      <c r="G13" s="2" t="inlineStr">
        <is>
          <t>kernel-execution; kernel-conformance; forge-pilot</t>
        </is>
      </c>
      <c r="H13" s="2" t="inlineStr">
        <is>
          <t>Oscillation produces typed artifact and triggers escalation/degradation</t>
        </is>
      </c>
      <c r="I13" s="2" t="inlineStr">
        <is>
          <t>P1</t>
        </is>
      </c>
    </row>
    <row r="14">
      <c r="A14" s="2" t="inlineStr">
        <is>
          <t>LIB-C013</t>
        </is>
      </c>
      <c r="B14" s="2" t="inlineStr">
        <is>
          <t>Nuisance state</t>
        </is>
      </c>
      <c r="C14" s="2" t="inlineStr">
        <is>
          <t>Medium</t>
        </is>
      </c>
      <c r="D14" s="2" t="inlineStr">
        <is>
          <t>Nuisance/latent structure is not yet a first-class modeled layer</t>
        </is>
      </c>
      <c r="E14" s="2" t="inlineStr">
        <is>
          <t>Bias and hidden state leak into heuristics</t>
        </is>
      </c>
      <c r="F14" s="2" t="inlineStr">
        <is>
          <t>Introduce nuisance-state surfaces / catalogs / operator interfaces</t>
        </is>
      </c>
      <c r="G14" s="2" t="inlineStr">
        <is>
          <t>kernel crates; runtime</t>
        </is>
      </c>
      <c r="H14" s="2" t="inlineStr">
        <is>
          <t>Nuisance state is explicit in compiled execution and result provenance</t>
        </is>
      </c>
      <c r="I14" s="2" t="inlineStr">
        <is>
          <t>P1</t>
        </is>
      </c>
    </row>
    <row r="15">
      <c r="A15" s="2" t="inlineStr">
        <is>
          <t>LIB-C014</t>
        </is>
      </c>
      <c r="B15" s="2" t="inlineStr">
        <is>
          <t>Boundary compiler</t>
        </is>
      </c>
      <c r="C15" s="2" t="inlineStr">
        <is>
          <t>High</t>
        </is>
      </c>
      <c r="D15" s="2" t="inlineStr">
        <is>
          <t>Parser/patch layer is not yet treated as a boundary compiler with strict dialects and repair provenance</t>
        </is>
      </c>
      <c r="E15" s="2" t="inlineStr">
        <is>
          <t>Treatment integrity risk at the boundary</t>
        </is>
      </c>
      <c r="F15" s="2" t="inlineStr">
        <is>
          <t>Add bounded repair law, canonicalization, duplicate-key rejection, semantic diff gates</t>
        </is>
      </c>
      <c r="G15" s="2" t="inlineStr">
        <is>
          <t>parser/patch crates; contract-schema-gen</t>
        </is>
      </c>
      <c r="H15" s="2" t="inlineStr">
        <is>
          <t>Boundary conformance suite catches semantic discrepancies</t>
        </is>
      </c>
      <c r="I15" s="2" t="inlineStr">
        <is>
          <t>P1</t>
        </is>
      </c>
    </row>
    <row r="16">
      <c r="A16" s="2" t="inlineStr">
        <is>
          <t>LIB-C015</t>
        </is>
      </c>
      <c r="B16" s="2" t="inlineStr">
        <is>
          <t>Regional protocol</t>
        </is>
      </c>
      <c r="C16" s="2" t="inlineStr">
        <is>
          <t>High</t>
        </is>
      </c>
      <c r="D16" s="2" t="inlineStr">
        <is>
          <t>Typed region protocol is not yet canonical</t>
        </is>
      </c>
      <c r="E16" s="2" t="inlineStr">
        <is>
          <t>Locality/replayability/concurrency assumptions remain implicit</t>
        </is>
      </c>
      <c r="F16" s="2" t="inlineStr">
        <is>
          <t>Introduce typed region contracts, boundary protocols, and per-region execution evidence</t>
        </is>
      </c>
      <c r="G16" s="2" t="inlineStr">
        <is>
          <t>runtime; kernel; maybe new region crate</t>
        </is>
      </c>
      <c r="H16" s="2" t="inlineStr">
        <is>
          <t>Region replay and inter-region artifact exchange tests pass</t>
        </is>
      </c>
      <c r="I16" s="2" t="inlineStr">
        <is>
          <t>P1</t>
        </is>
      </c>
    </row>
    <row r="17">
      <c r="A17" s="2" t="inlineStr">
        <is>
          <t>LIB-C016</t>
        </is>
      </c>
      <c r="B17" s="2" t="inlineStr">
        <is>
          <t>Delta recomputation</t>
        </is>
      </c>
      <c r="C17" s="2" t="inlineStr">
        <is>
          <t>Medium</t>
        </is>
      </c>
      <c r="D17" s="2" t="inlineStr">
        <is>
          <t>Incremental recomputation is encouraged but not yet canonicalized</t>
        </is>
      </c>
      <c r="E17" s="2" t="inlineStr">
        <is>
          <t>Blind rebuilds remain common fallback</t>
        </is>
      </c>
      <c r="F17" s="2" t="inlineStr">
        <is>
          <t>Freeze delta-aware recomputation interfaces and lineage-triggered rebuild rules</t>
        </is>
      </c>
      <c r="G17" s="2" t="inlineStr">
        <is>
          <t>semantic-memory; runtime; kernels</t>
        </is>
      </c>
      <c r="H17" s="2" t="inlineStr">
        <is>
          <t>Changes update bounded surfaces without global rebuild in defined cases</t>
        </is>
      </c>
      <c r="I17" s="2" t="inlineStr">
        <is>
          <t>P1</t>
        </is>
      </c>
    </row>
    <row r="18">
      <c r="A18" s="2" t="inlineStr">
        <is>
          <t>LIB-C017</t>
        </is>
      </c>
      <c r="B18" s="2" t="inlineStr">
        <is>
          <t>Conformance harness</t>
        </is>
      </c>
      <c r="C18" s="2" t="inlineStr">
        <is>
          <t>High</t>
        </is>
      </c>
      <c r="D18" s="2" t="inlineStr">
        <is>
          <t>Semantic, bridge, temporal, and execution evidence seams lack one integrated conformance harness</t>
        </is>
      </c>
      <c r="E18" s="2" t="inlineStr">
        <is>
          <t>Regression risk remains system-wide</t>
        </is>
      </c>
      <c r="F18" s="2" t="inlineStr">
        <is>
          <t>Build cross-crate conformance suite with golden artifacts and differential tests</t>
        </is>
      </c>
      <c r="G18" s="2" t="inlineStr">
        <is>
          <t>kernel-conformance; bridge; runtime; contract-schema-gen</t>
        </is>
      </c>
      <c r="H18" s="2" t="inlineStr">
        <is>
          <t>Nightly conformance suite runs across canonical seams</t>
        </is>
      </c>
      <c r="I18" s="2" t="inlineStr">
        <is>
          <t>P1</t>
        </is>
      </c>
    </row>
    <row r="19">
      <c r="A19" s="2" t="inlineStr">
        <is>
          <t>LIB-C018</t>
        </is>
      </c>
      <c r="B19" s="2" t="inlineStr">
        <is>
          <t>Attested exchange</t>
        </is>
      </c>
      <c r="C19" s="2" t="inlineStr">
        <is>
          <t>Medium</t>
        </is>
      </c>
      <c r="D19" s="2" t="inlineStr">
        <is>
          <t>Federation/treaty/remote-admission surfaces are horizon-level but need shape now</t>
        </is>
      </c>
      <c r="E19" s="2" t="inlineStr">
        <is>
          <t>Future external exchange can become incoherent</t>
        </is>
      </c>
      <c r="F19" s="2" t="inlineStr">
        <is>
          <t>Define attestation/treaty placeholders and non-goals while keeping v9 finish line clean</t>
        </is>
      </c>
      <c r="G19" s="2" t="inlineStr">
        <is>
          <t>control/exchange crates or docs</t>
        </is>
      </c>
      <c r="H19" s="2" t="inlineStr">
        <is>
          <t>v9 defers federation without ambiguous artifact gaps</t>
        </is>
      </c>
      <c r="I19" s="2" t="inlineStr">
        <is>
          <t>P2</t>
        </is>
      </c>
    </row>
    <row r="20">
      <c r="A20" s="2" t="inlineStr">
        <is>
          <t>LIB-C019</t>
        </is>
      </c>
      <c r="B20" s="2" t="inlineStr">
        <is>
          <t>Lawful subtraction</t>
        </is>
      </c>
      <c r="C20" s="2" t="inlineStr">
        <is>
          <t>Medium</t>
        </is>
      </c>
      <c r="D20" s="2" t="inlineStr">
        <is>
          <t>Subtractive runtime remains conceptually strong but not operationalized as first-class family</t>
        </is>
      </c>
      <c r="E20" s="2" t="inlineStr">
        <is>
          <t>System may only know how to add, not safely reduce</t>
        </is>
      </c>
      <c r="F20" s="2" t="inlineStr">
        <is>
          <t>Define subtraction artifact family, invariant budgets, and proof obligations as horizon</t>
        </is>
      </c>
      <c r="G20" s="2" t="inlineStr">
        <is>
          <t>future runtime crates/docs</t>
        </is>
      </c>
      <c r="H20" s="2" t="inlineStr">
        <is>
          <t>Horizon backlog has explicit subtraction objects and gates</t>
        </is>
      </c>
      <c r="I20" s="2" t="inlineStr">
        <is>
          <t>P2</t>
        </is>
      </c>
    </row>
    <row r="21">
      <c r="A21" s="2" t="inlineStr">
        <is>
          <t>LIB-C020</t>
        </is>
      </c>
      <c r="B21" s="2" t="inlineStr">
        <is>
          <t>Mechanism library</t>
        </is>
      </c>
      <c r="C21" s="2" t="inlineStr">
        <is>
          <t>Low</t>
        </is>
      </c>
      <c r="D21" s="2" t="inlineStr">
        <is>
          <t>Theory/mechanism runtime is valuable but should not contaminate v9 finish line</t>
        </is>
      </c>
      <c r="E21" s="2" t="inlineStr">
        <is>
          <t>Finish line can be poisoned by overreach</t>
        </is>
      </c>
      <c r="F21" s="2" t="inlineStr">
        <is>
          <t>Keep mechanism artifacts in v17 horizon docset and out of v9 must-ship</t>
        </is>
      </c>
      <c r="G21" s="2" t="inlineStr">
        <is>
          <t>research/runtime docs</t>
        </is>
      </c>
      <c r="H21" s="2" t="inlineStr">
        <is>
          <t>No v9 issue depends on mechanism-search runtime</t>
        </is>
      </c>
      <c r="I21" s="2" t="inlineStr">
        <is>
          <t>P2</t>
        </is>
      </c>
    </row>
  </sheetData>
  <autoFilter ref="A1:I21"/>
  <conditionalFormatting sqref="C2:C21">
    <cfRule type="expression" priority="1" dxfId="0">
      <formula>$C2="Critical"</formula>
    </cfRule>
    <cfRule type="expression" priority="2" dxfId="1">
      <formula>$C2="High"</formula>
    </cfRule>
    <cfRule type="expression" priority="3" dxfId="2">
      <formula>$C2="Medium"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1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Bundle</t>
        </is>
      </c>
      <c r="B2" s="2" t="inlineStr">
        <is>
          <t>Libraries</t>
        </is>
      </c>
    </row>
    <row r="3">
      <c r="A3" s="2" t="inlineStr">
        <is>
          <t>Total issues</t>
        </is>
      </c>
      <c r="B3" s="2">
        <f>COUNTA('Issue Matrix'!A:A)-1</f>
        <v/>
      </c>
    </row>
    <row r="4">
      <c r="A4" s="2" t="inlineStr">
        <is>
          <t>Critical</t>
        </is>
      </c>
      <c r="B4" s="2">
        <f>COUNTIF('Issue Matrix'!C:C,"Critical")</f>
        <v/>
      </c>
    </row>
    <row r="5">
      <c r="A5" s="2" t="inlineStr">
        <is>
          <t>High</t>
        </is>
      </c>
      <c r="B5" s="2">
        <f>COUNTIF('Issue Matrix'!C:C,"High")</f>
        <v/>
      </c>
    </row>
    <row r="6">
      <c r="A6" s="2" t="inlineStr">
        <is>
          <t>Medium</t>
        </is>
      </c>
      <c r="B6" s="2">
        <f>COUNTIF('Issue Matrix'!C:C,"Medium")</f>
        <v/>
      </c>
    </row>
    <row r="7">
      <c r="A7" s="2" t="inlineStr">
        <is>
          <t>Low</t>
        </is>
      </c>
      <c r="B7" s="2">
        <f>COUNTIF('Issue Matrix'!C:C,"Low")</f>
        <v/>
      </c>
    </row>
    <row r="8">
      <c r="A8" s="2" t="inlineStr">
        <is>
          <t>P0</t>
        </is>
      </c>
      <c r="B8" s="2">
        <f>COUNTIF('Issue Matrix'!I:I,"P0")</f>
        <v/>
      </c>
    </row>
    <row r="9">
      <c r="A9" s="2" t="inlineStr">
        <is>
          <t>P1</t>
        </is>
      </c>
      <c r="B9" s="2">
        <f>COUNTIF('Issue Matrix'!I:I,"P1")</f>
        <v/>
      </c>
    </row>
    <row r="10">
      <c r="A10" s="2" t="inlineStr">
        <is>
          <t>P2</t>
        </is>
      </c>
      <c r="B10" s="2">
        <f>COUNTIF('Issue Matrix'!I:I,"P2")</f>
        <v/>
      </c>
    </row>
  </sheetData>
  <autoFilter ref="A1:B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60" customWidth="1" min="4" max="4"/>
  </cols>
  <sheetData>
    <row r="1">
      <c r="A1" s="1" t="inlineStr">
        <is>
          <t>Order</t>
        </is>
      </c>
      <c r="B1" s="1" t="inlineStr">
        <is>
          <t>Phase</t>
        </is>
      </c>
      <c r="C1" s="1" t="inlineStr">
        <is>
          <t>Objective</t>
        </is>
      </c>
      <c r="D1" s="1" t="inlineStr">
        <is>
          <t>Representative issues</t>
        </is>
      </c>
    </row>
    <row r="2">
      <c r="A2" s="2" t="n">
        <v>1</v>
      </c>
      <c r="B2" s="2" t="inlineStr">
        <is>
          <t>P0</t>
        </is>
      </c>
      <c r="C2" s="2" t="inlineStr">
        <is>
          <t>Unlock the finish line / core behavior</t>
        </is>
      </c>
      <c r="D2" s="2" t="inlineStr">
        <is>
          <t>LIB-C001, LIB-C002, LIB-C003, LIB-C004, LIB-C005, LIB-C006...</t>
        </is>
      </c>
    </row>
    <row r="3">
      <c r="A3" s="2" t="n">
        <v>2</v>
      </c>
      <c r="B3" s="2" t="inlineStr">
        <is>
          <t>P1</t>
        </is>
      </c>
      <c r="C3" s="2" t="inlineStr">
        <is>
          <t>Make the architecture lawful and testable</t>
        </is>
      </c>
      <c r="D3" s="2" t="inlineStr">
        <is>
          <t>LIB-C011, LIB-C012, LIB-C013, LIB-C014, LIB-C015, LIB-C016...</t>
        </is>
      </c>
    </row>
    <row r="4">
      <c r="A4" s="2" t="n">
        <v>3</v>
      </c>
      <c r="B4" s="2" t="inlineStr">
        <is>
          <t>P2</t>
        </is>
      </c>
      <c r="C4" s="2" t="inlineStr">
        <is>
          <t>Reserve horizon work and explicit deferrals</t>
        </is>
      </c>
      <c r="D4" s="2" t="inlineStr">
        <is>
          <t>LIB-C018, LIB-C019, LIB-C020</t>
        </is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1" customWidth="1" min="2" max="2"/>
    <col width="28" customWidth="1" min="3" max="3"/>
    <col width="30" customWidth="1" min="4" max="4"/>
  </cols>
  <sheetData>
    <row r="1">
      <c r="A1" s="1" t="inlineStr">
        <is>
          <t>Axis A</t>
        </is>
      </c>
      <c r="B1" s="1" t="inlineStr">
        <is>
          <t>Axis B</t>
        </is>
      </c>
      <c r="C1" s="1" t="inlineStr">
        <is>
          <t>Axis C</t>
        </is>
      </c>
      <c r="D1" s="1" t="inlineStr">
        <is>
          <t>Primary issue IDs</t>
        </is>
      </c>
    </row>
    <row r="2">
      <c r="A2" s="2" t="inlineStr">
        <is>
          <t>Identity</t>
        </is>
      </c>
      <c r="B2" s="2" t="inlineStr">
        <is>
          <t>Evidence/Projection</t>
        </is>
      </c>
      <c r="C2" s="2" t="inlineStr">
        <is>
          <t>Authority collapse</t>
        </is>
      </c>
      <c r="D2" s="2" t="inlineStr">
        <is>
          <t>LIB-C001, LIB-C006</t>
        </is>
      </c>
    </row>
    <row r="3">
      <c r="A3" s="2" t="inlineStr">
        <is>
          <t>Execution evidence</t>
        </is>
      </c>
      <c r="B3" s="2" t="inlineStr">
        <is>
          <t>Control/Runtime</t>
        </is>
      </c>
      <c r="C3" s="2" t="inlineStr">
        <is>
          <t>Provenance loss</t>
        </is>
      </c>
      <c r="D3" s="2" t="inlineStr">
        <is>
          <t>LIB-C002, LIB-C009</t>
        </is>
      </c>
    </row>
    <row r="4">
      <c r="A4" s="2" t="inlineStr">
        <is>
          <t>Contracts</t>
        </is>
      </c>
      <c r="B4" s="2" t="inlineStr">
        <is>
          <t>Bridge/Schema</t>
        </is>
      </c>
      <c r="C4" s="2" t="inlineStr">
        <is>
          <t>Silent approximation</t>
        </is>
      </c>
      <c r="D4" s="2" t="inlineStr">
        <is>
          <t>LIB-C004, LIB-C005, LIB-C014</t>
        </is>
      </c>
    </row>
    <row r="5">
      <c r="A5" s="2" t="inlineStr">
        <is>
          <t>Runtime geometry</t>
        </is>
      </c>
      <c r="B5" s="2" t="inlineStr">
        <is>
          <t>Kernel/Runtime</t>
        </is>
      </c>
      <c r="C5" s="2" t="inlineStr">
        <is>
          <t>Wrong-graph or oscillation</t>
        </is>
      </c>
      <c r="D5" s="2" t="inlineStr">
        <is>
          <t>LIB-C011, LIB-C012, LIB-C015</t>
        </is>
      </c>
    </row>
    <row r="6">
      <c r="A6" s="2" t="inlineStr">
        <is>
          <t>Conformance</t>
        </is>
      </c>
      <c r="B6" s="2" t="inlineStr">
        <is>
          <t>Whole stack</t>
        </is>
      </c>
      <c r="C6" s="2" t="inlineStr">
        <is>
          <t>Semantic drift</t>
        </is>
      </c>
      <c r="D6" s="2" t="inlineStr">
        <is>
          <t>LIB-C003, LIB-C017</t>
        </is>
      </c>
    </row>
  </sheetData>
  <autoFilter ref="A1:D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13" customWidth="1" min="2" max="2"/>
    <col width="12" customWidth="1" min="3" max="3"/>
    <col width="39" customWidth="1" min="4" max="4"/>
  </cols>
  <sheetData>
    <row r="1">
      <c r="A1" s="1" t="inlineStr">
        <is>
          <t>Risk</t>
        </is>
      </c>
      <c r="B1" s="1" t="inlineStr">
        <is>
          <t>Probability</t>
        </is>
      </c>
      <c r="C1" s="1" t="inlineStr">
        <is>
          <t>Impact</t>
        </is>
      </c>
      <c r="D1" s="1" t="inlineStr">
        <is>
          <t>Mitigation</t>
        </is>
      </c>
    </row>
    <row r="2">
      <c r="A2" s="2" t="inlineStr">
        <is>
          <t>v10 geometry poisons v9 finish line</t>
        </is>
      </c>
      <c r="B2" s="2" t="inlineStr">
        <is>
          <t>High</t>
        </is>
      </c>
      <c r="C2" s="2" t="inlineStr">
        <is>
          <t>High</t>
        </is>
      </c>
      <c r="D2" s="2" t="inlineStr">
        <is>
          <t>Keep horizon work explicitly deferred</t>
        </is>
      </c>
    </row>
    <row r="3">
      <c r="A3" s="2" t="inlineStr">
        <is>
          <t>Reference interpreters deferred</t>
        </is>
      </c>
      <c r="B3" s="2" t="inlineStr">
        <is>
          <t>High</t>
        </is>
      </c>
      <c r="C3" s="2" t="inlineStr">
        <is>
          <t>High</t>
        </is>
      </c>
      <c r="D3" s="2" t="inlineStr">
        <is>
          <t>Make them P0</t>
        </is>
      </c>
    </row>
    <row r="4">
      <c r="A4" s="2" t="inlineStr">
        <is>
          <t>Execution evidence remains logs</t>
        </is>
      </c>
      <c r="B4" s="2" t="inlineStr">
        <is>
          <t>High</t>
        </is>
      </c>
      <c r="C4" s="2" t="inlineStr">
        <is>
          <t>High</t>
        </is>
      </c>
      <c r="D4" s="2" t="inlineStr">
        <is>
          <t>Freeze receipt artifacts in v9</t>
        </is>
      </c>
    </row>
    <row r="5">
      <c r="A5" s="2" t="inlineStr">
        <is>
          <t>Schema governance optional</t>
        </is>
      </c>
      <c r="B5" s="2" t="inlineStr">
        <is>
          <t>Medium</t>
        </is>
      </c>
      <c r="C5" s="2" t="inlineStr">
        <is>
          <t>High</t>
        </is>
      </c>
      <c r="D5" s="2" t="inlineStr">
        <is>
          <t>Make contract-schema-gen central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2026-04-03T22:56:11Z</dcterms:created>
  <dcterms:modified xmlns:dcterms="http://purl.org/dc/terms/" xmlns:xsi="http://www.w3.org/2001/XMLSchema-instance" xsi:type="dcterms:W3CDTF">2026-04-03T22:56:11Z</dcterms:modified>
</cp:coreProperties>
</file>